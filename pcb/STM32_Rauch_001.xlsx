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mens-my.sharepoint.com/personal/frank_eckholz_siemens_com/Documents/LP/Schumann/STM32/Rauch/"/>
    </mc:Choice>
  </mc:AlternateContent>
  <xr:revisionPtr revIDLastSave="46" documentId="13_ncr:1_{BCF8861F-C354-4561-83EA-95E6F365DEC9}" xr6:coauthVersionLast="47" xr6:coauthVersionMax="47" xr10:uidLastSave="{4FC0D102-C4EC-4D7C-B4C4-C8B71E2C633C}"/>
  <bookViews>
    <workbookView xWindow="-120" yWindow="-120" windowWidth="37815" windowHeight="21840" xr2:uid="{AD63E077-AFCB-403D-AA96-7201C490E7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3" i="1" l="1"/>
  <c r="I24" i="1"/>
  <c r="I35" i="1"/>
  <c r="I16" i="1"/>
  <c r="I14" i="1"/>
  <c r="I36" i="1"/>
  <c r="I37" i="1"/>
  <c r="I34" i="1"/>
  <c r="I10" i="1"/>
  <c r="I7" i="1"/>
  <c r="I26" i="1"/>
  <c r="I17" i="1"/>
  <c r="I28" i="1"/>
  <c r="I15" i="1"/>
  <c r="I27" i="1"/>
  <c r="I8" i="1"/>
  <c r="I29" i="1"/>
  <c r="I30" i="1"/>
  <c r="I9" i="1"/>
  <c r="I31" i="1"/>
  <c r="I32" i="1"/>
  <c r="I33" i="1"/>
  <c r="I38" i="1"/>
  <c r="I25" i="1"/>
  <c r="I11" i="1"/>
  <c r="I12" i="1"/>
  <c r="I13" i="1"/>
  <c r="I18" i="1"/>
  <c r="I19" i="1"/>
  <c r="I20" i="1"/>
  <c r="I21" i="1"/>
  <c r="I22" i="1"/>
</calcChain>
</file>

<file path=xl/sharedStrings.xml><?xml version="1.0" encoding="utf-8"?>
<sst xmlns="http://schemas.openxmlformats.org/spreadsheetml/2006/main" count="198" uniqueCount="125">
  <si>
    <t>Bestückhilfe für Eagle</t>
  </si>
  <si>
    <t>Stand</t>
  </si>
  <si>
    <t>Qty</t>
  </si>
  <si>
    <t>Value</t>
  </si>
  <si>
    <t>Device</t>
  </si>
  <si>
    <t>Package</t>
  </si>
  <si>
    <t>Parts</t>
  </si>
  <si>
    <t>Description</t>
  </si>
  <si>
    <t>..</t>
  </si>
  <si>
    <t>C&amp;P</t>
  </si>
  <si>
    <t>..2</t>
  </si>
  <si>
    <t>Kommentar</t>
  </si>
  <si>
    <t>2. Jeweils Einträge in "C&amp;P" kopieren und im Eagle-Layout in Befehlszeile einfügen &lt;Enter&gt;</t>
  </si>
  <si>
    <t>3. In Spalte "Kommentar" den Status eintragen, ok = bestückt, Probleme ect.</t>
  </si>
  <si>
    <t>1. Stückliste in Tabelle (Spalten B..G) einfügen, die Spalte "Parts" ist die wichtige</t>
  </si>
  <si>
    <t>RESISTOR, European symbol</t>
  </si>
  <si>
    <t>R-EU_0603</t>
  </si>
  <si>
    <t>RESC0603</t>
  </si>
  <si>
    <t>R1</t>
  </si>
  <si>
    <t>100n</t>
  </si>
  <si>
    <t>C-EU0603</t>
  </si>
  <si>
    <t>CAPC0603</t>
  </si>
  <si>
    <t>CAPACITOR, European symbol</t>
  </si>
  <si>
    <t>10µ/4A - IHLP2525CZER100M11</t>
  </si>
  <si>
    <t>L-EU0707</t>
  </si>
  <si>
    <t>INDM0707</t>
  </si>
  <si>
    <t>L1</t>
  </si>
  <si>
    <t>INDUCTOR, European symbol</t>
  </si>
  <si>
    <t>22µ/6,3V</t>
  </si>
  <si>
    <t>C-EU1206</t>
  </si>
  <si>
    <t>CAPC1206</t>
  </si>
  <si>
    <t>C3, C4</t>
  </si>
  <si>
    <t>4,7k</t>
  </si>
  <si>
    <t>4,7µ/50V</t>
  </si>
  <si>
    <t>C-EU1210</t>
  </si>
  <si>
    <t>CAPC1210</t>
  </si>
  <si>
    <t>C1</t>
  </si>
  <si>
    <t>X1</t>
  </si>
  <si>
    <t>X4</t>
  </si>
  <si>
    <t>X3</t>
  </si>
  <si>
    <t>LMR51430YFDDCR</t>
  </si>
  <si>
    <t>LMR51430</t>
  </si>
  <si>
    <t>SOT23-6</t>
  </si>
  <si>
    <t>IC1</t>
  </si>
  <si>
    <t>LMR51430 SIMPLE SWITCHER® 4.5-V to 36-V, 3-A, Synchronous Buck Converter in a  SOT-23 Package</t>
  </si>
  <si>
    <t>MSTBVA2,5/4-G-5,08 - 1755752</t>
  </si>
  <si>
    <t>MSTBVA2,5/4-G-5,08</t>
  </si>
  <si>
    <t>X2</t>
  </si>
  <si>
    <t>Phoenix Contact</t>
  </si>
  <si>
    <t>SS16</t>
  </si>
  <si>
    <t>DIODE-SCHOTTKY-SMA</t>
  </si>
  <si>
    <t>DIOM-SMA</t>
  </si>
  <si>
    <t>D1</t>
  </si>
  <si>
    <t>n.b.</t>
  </si>
  <si>
    <t>C2, C5, C6, C7, C8, C9, C10, C11, C12, C13, C14</t>
  </si>
  <si>
    <t>10K</t>
  </si>
  <si>
    <t>R11, R12, R13, R14, R15, R26, R27, R28, R29, R30</t>
  </si>
  <si>
    <t>1M</t>
  </si>
  <si>
    <t>R2</t>
  </si>
  <si>
    <t>1N4448</t>
  </si>
  <si>
    <t>DIODE-SOD323</t>
  </si>
  <si>
    <t>SOD323</t>
  </si>
  <si>
    <t>D3</t>
  </si>
  <si>
    <t>1k</t>
  </si>
  <si>
    <t>R7</t>
  </si>
  <si>
    <t>36k</t>
  </si>
  <si>
    <t>R3</t>
  </si>
  <si>
    <t>4.7k</t>
  </si>
  <si>
    <t>R31, R32, R33, R34, R35, R36, R37, R38, R39, R40</t>
  </si>
  <si>
    <t>470R</t>
  </si>
  <si>
    <t>R4, R8, R9, R10</t>
  </si>
  <si>
    <t>68k</t>
  </si>
  <si>
    <t>R16, R17, R18, R19, R20, R21, R22, R23, R24, R25</t>
  </si>
  <si>
    <t>BC547</t>
  </si>
  <si>
    <t>TRANSISTOR-NPN-SOT23</t>
  </si>
  <si>
    <t>SOT23</t>
  </si>
  <si>
    <t>Q1, Q2, Q3, Q4, Q5, Q6, Q7, Q8, Q9, Q10, Q11</t>
  </si>
  <si>
    <t>G5Q-14-EU DC12 (TY)</t>
  </si>
  <si>
    <t>RELAIS1-OMRON-G5Q</t>
  </si>
  <si>
    <t>OMRON-G5Q</t>
  </si>
  <si>
    <t>K1</t>
  </si>
  <si>
    <t>LED gelb</t>
  </si>
  <si>
    <t>DIODE-LED-C1608</t>
  </si>
  <si>
    <t>LEDC1608</t>
  </si>
  <si>
    <t>D4, D7, D8, D9, D10, D11, D12, D13, D14, D15, D16</t>
  </si>
  <si>
    <t>LED grün</t>
  </si>
  <si>
    <t>D6</t>
  </si>
  <si>
    <t>LED rot</t>
  </si>
  <si>
    <t>D5</t>
  </si>
  <si>
    <t>MCV1,5/10-G-3,81</t>
  </si>
  <si>
    <t>MCV1,5/4-G-3,81</t>
  </si>
  <si>
    <t>MOLEX-6410/4</t>
  </si>
  <si>
    <t>X5</t>
  </si>
  <si>
    <t>Molex Serie 6410</t>
  </si>
  <si>
    <t>MOUNT-HOLE-3.2</t>
  </si>
  <si>
    <t>MOUNT-HOLE-3,2</t>
  </si>
  <si>
    <t>H1, H2, H3, H4</t>
  </si>
  <si>
    <t>Mounting Hole</t>
  </si>
  <si>
    <t>MSTBVA2,5/3-G-5,08</t>
  </si>
  <si>
    <t>SCHURTER_LSH</t>
  </si>
  <si>
    <t>SHURTER_LSH</t>
  </si>
  <si>
    <t>S1</t>
  </si>
  <si>
    <t>SM15T39A</t>
  </si>
  <si>
    <t>DIODE-TVS-UNI-SMC</t>
  </si>
  <si>
    <t>DIOM-SMC</t>
  </si>
  <si>
    <t>D2</t>
  </si>
  <si>
    <t>STM NUCLEO-G031K8</t>
  </si>
  <si>
    <t>STM32-NUCLEO32</t>
  </si>
  <si>
    <t>NUCLEO32</t>
  </si>
  <si>
    <t>M1</t>
  </si>
  <si>
    <t>Arduino Nano plug in module with SMT32 Nucleo-32 signal names</t>
  </si>
  <si>
    <t>TM1637</t>
  </si>
  <si>
    <t>DIS1</t>
  </si>
  <si>
    <t>R5, R6</t>
  </si>
  <si>
    <t>open</t>
  </si>
  <si>
    <t>CON-J2D</t>
  </si>
  <si>
    <t>CON-SOLDERJUMPER</t>
  </si>
  <si>
    <t>J1</t>
  </si>
  <si>
    <t>Jumper 2pol.</t>
  </si>
  <si>
    <t>x</t>
  </si>
  <si>
    <t>BC847B</t>
  </si>
  <si>
    <t>falsch herum</t>
  </si>
  <si>
    <t>falsches Raster</t>
  </si>
  <si>
    <t>zu klein</t>
  </si>
  <si>
    <t>redesign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</si>
</sst>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shrinkToFit="1"/>
    </xf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shrinkToFit="1"/>
    </xf>
  </cellXfs>
  <cellStyles count="1">
    <cellStyle name="Standard" xfId="0" builtinId="0"/>
  </cellStyles>
  <dxfs count="2">
    <dxf>
      <numFmt numFmtId="0" formatCode="General"/>
      <alignment horizontal="general" vertical="bottom" textRotation="0" wrapText="0" indent="0" justifyLastLine="0" shrinkToFit="1" readingOrder="0"/>
    </dxf>
    <dxf>
      <alignment horizontal="general" vertical="bottom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8C03A5-CF16-4617-A6C6-4975E21573B8}" name="Tabelle1" displayName="Tabelle1" ref="A6:J38" totalsRowShown="0">
  <autoFilter ref="A6:J38" xr:uid="{788C03A5-CF16-4617-A6C6-4975E21573B8}"/>
  <sortState xmlns:xlrd2="http://schemas.microsoft.com/office/spreadsheetml/2017/richdata2" ref="A7:J38">
    <sortCondition ref="C7:C38"/>
    <sortCondition ref="B7:B38"/>
  </sortState>
  <tableColumns count="10">
    <tableColumn id="1" xr3:uid="{E5D4F45C-6F99-4E16-98A4-B1DB80A96119}" name="Qty"/>
    <tableColumn id="2" xr3:uid="{2D378832-7A17-4080-B7C6-14A89F1D70FD}" name="Value"/>
    <tableColumn id="3" xr3:uid="{48E172BC-5B3A-4509-873B-1478B5F38B31}" name="Device"/>
    <tableColumn id="4" xr3:uid="{DF5CBDE8-9C37-427B-8E6C-2278B73270A6}" name="Package"/>
    <tableColumn id="5" xr3:uid="{6EF4545C-70EA-4409-B7A6-1F526958E94B}" name="Parts"/>
    <tableColumn id="6" xr3:uid="{CC981806-DF88-41BE-8DAE-1C36E9B01C5D}" name="Description" dataDxfId="1"/>
    <tableColumn id="7" xr3:uid="{E24F7DBC-4D8E-4A75-965C-362D904AD2D8}" name=".."/>
    <tableColumn id="8" xr3:uid="{30CAF8F6-C458-4092-BD9B-86D09C1F8C4D}" name="..2"/>
    <tableColumn id="9" xr3:uid="{B1696CAB-D5D8-4A46-BA67-7298A7706AD9}" name="C&amp;P" dataDxfId="0">
      <calculatedColumnFormula>CONCATENATE("show @ ",SUBSTITUTE(E7,",",""))</calculatedColumnFormula>
    </tableColumn>
    <tableColumn id="10" xr3:uid="{96082B80-0D62-485A-AA48-B314C6ECF475}" name="Komment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EADE-9693-4DDE-AAF1-B5D12390488A}">
  <dimension ref="A1:J38"/>
  <sheetViews>
    <sheetView tabSelected="1" zoomScale="130" zoomScaleNormal="130" workbookViewId="0">
      <selection activeCell="B4" sqref="B4"/>
    </sheetView>
  </sheetViews>
  <sheetFormatPr baseColWidth="10" defaultRowHeight="15" x14ac:dyDescent="0.25"/>
  <cols>
    <col min="1" max="1" width="8" customWidth="1"/>
    <col min="2" max="2" width="28.42578125" customWidth="1"/>
    <col min="3" max="5" width="13.5703125" customWidth="1"/>
    <col min="6" max="6" width="13.5703125" style="1" customWidth="1"/>
    <col min="7" max="7" width="6.5703125" customWidth="1"/>
    <col min="8" max="8" width="16.140625" customWidth="1"/>
    <col min="9" max="9" width="65.28515625" style="1" customWidth="1"/>
  </cols>
  <sheetData>
    <row r="1" spans="1:10" s="3" customFormat="1" x14ac:dyDescent="0.25">
      <c r="F1" s="4"/>
    </row>
    <row r="2" spans="1:10" s="3" customFormat="1" x14ac:dyDescent="0.25">
      <c r="A2" s="3" t="s">
        <v>0</v>
      </c>
      <c r="F2" s="4"/>
      <c r="G2" s="3" t="s">
        <v>14</v>
      </c>
    </row>
    <row r="3" spans="1:10" s="3" customFormat="1" x14ac:dyDescent="0.25">
      <c r="A3" s="3" t="s">
        <v>1</v>
      </c>
      <c r="B3" s="2">
        <v>46111</v>
      </c>
      <c r="F3" s="4"/>
      <c r="G3" s="3" t="s">
        <v>12</v>
      </c>
    </row>
    <row r="4" spans="1:10" s="3" customFormat="1" x14ac:dyDescent="0.25">
      <c r="F4" s="4"/>
      <c r="G4" s="3" t="s">
        <v>13</v>
      </c>
    </row>
    <row r="5" spans="1:10" x14ac:dyDescent="0.25">
      <c r="I5"/>
    </row>
    <row r="6" spans="1:10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s="1" t="s">
        <v>7</v>
      </c>
      <c r="G6" t="s">
        <v>8</v>
      </c>
      <c r="H6" t="s">
        <v>10</v>
      </c>
      <c r="I6" s="1" t="s">
        <v>9</v>
      </c>
      <c r="J6" t="s">
        <v>11</v>
      </c>
    </row>
    <row r="7" spans="1:10" x14ac:dyDescent="0.25">
      <c r="A7">
        <v>11</v>
      </c>
      <c r="B7" t="s">
        <v>19</v>
      </c>
      <c r="C7" t="s">
        <v>20</v>
      </c>
      <c r="D7" t="s">
        <v>21</v>
      </c>
      <c r="E7" t="s">
        <v>54</v>
      </c>
      <c r="F7" t="s">
        <v>22</v>
      </c>
      <c r="I7" s="1" t="str">
        <f>CONCATENATE("show @ ",SUBSTITUTE(E7,",",""))</f>
        <v>show @ C2 C5 C6 C7 C8 C9 C10 C11 C12 C13 C14</v>
      </c>
      <c r="J7" t="s">
        <v>119</v>
      </c>
    </row>
    <row r="8" spans="1:10" x14ac:dyDescent="0.25">
      <c r="A8">
        <v>2</v>
      </c>
      <c r="B8" t="s">
        <v>28</v>
      </c>
      <c r="C8" t="s">
        <v>29</v>
      </c>
      <c r="D8" t="s">
        <v>30</v>
      </c>
      <c r="E8" t="s">
        <v>31</v>
      </c>
      <c r="F8" t="s">
        <v>22</v>
      </c>
      <c r="I8" s="1" t="str">
        <f>CONCATENATE("show @ ",SUBSTITUTE(E8,",",""))</f>
        <v>show @ C3 C4</v>
      </c>
      <c r="J8" t="s">
        <v>119</v>
      </c>
    </row>
    <row r="9" spans="1:10" x14ac:dyDescent="0.25">
      <c r="A9">
        <v>1</v>
      </c>
      <c r="B9" t="s">
        <v>33</v>
      </c>
      <c r="C9" t="s">
        <v>34</v>
      </c>
      <c r="D9" t="s">
        <v>35</v>
      </c>
      <c r="E9" t="s">
        <v>36</v>
      </c>
      <c r="F9" t="s">
        <v>22</v>
      </c>
      <c r="I9" s="1" t="str">
        <f>CONCATENATE("show @ ",SUBSTITUTE(E9,",",""))</f>
        <v>show @ C1</v>
      </c>
      <c r="J9" t="s">
        <v>119</v>
      </c>
    </row>
    <row r="10" spans="1:10" x14ac:dyDescent="0.25">
      <c r="A10">
        <v>1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I10" s="1" t="str">
        <f>CONCATENATE("show @ ",SUBSTITUTE(E10,",",""))</f>
        <v>show @ J1</v>
      </c>
      <c r="J10" t="s">
        <v>53</v>
      </c>
    </row>
    <row r="11" spans="1:10" x14ac:dyDescent="0.25">
      <c r="A11">
        <v>11</v>
      </c>
      <c r="B11" t="s">
        <v>81</v>
      </c>
      <c r="C11" t="s">
        <v>82</v>
      </c>
      <c r="D11" t="s">
        <v>83</v>
      </c>
      <c r="E11" t="s">
        <v>84</v>
      </c>
      <c r="F11"/>
      <c r="I11" s="1" t="str">
        <f>CONCATENATE("show @ ",SUBSTITUTE(E11,",",""))</f>
        <v>show @ D4 D7 D8 D9 D10 D11 D12 D13 D14 D15 D16</v>
      </c>
      <c r="J11" t="s">
        <v>119</v>
      </c>
    </row>
    <row r="12" spans="1:10" x14ac:dyDescent="0.25">
      <c r="A12">
        <v>1</v>
      </c>
      <c r="B12" t="s">
        <v>85</v>
      </c>
      <c r="C12" t="s">
        <v>82</v>
      </c>
      <c r="D12" t="s">
        <v>83</v>
      </c>
      <c r="E12" t="s">
        <v>86</v>
      </c>
      <c r="F12"/>
      <c r="I12" s="1" t="str">
        <f>CONCATENATE("show @ ",SUBSTITUTE(E12,",",""))</f>
        <v>show @ D6</v>
      </c>
      <c r="J12" t="s">
        <v>119</v>
      </c>
    </row>
    <row r="13" spans="1:10" x14ac:dyDescent="0.25">
      <c r="A13">
        <v>1</v>
      </c>
      <c r="B13" t="s">
        <v>87</v>
      </c>
      <c r="C13" t="s">
        <v>82</v>
      </c>
      <c r="D13" t="s">
        <v>83</v>
      </c>
      <c r="E13" t="s">
        <v>88</v>
      </c>
      <c r="F13"/>
      <c r="I13" s="1" t="str">
        <f>CONCATENATE("show @ ",SUBSTITUTE(E13,",",""))</f>
        <v>show @ D5</v>
      </c>
      <c r="J13" t="s">
        <v>119</v>
      </c>
    </row>
    <row r="14" spans="1:10" x14ac:dyDescent="0.25">
      <c r="A14">
        <v>1</v>
      </c>
      <c r="B14" t="s">
        <v>49</v>
      </c>
      <c r="C14" t="s">
        <v>50</v>
      </c>
      <c r="D14" t="s">
        <v>51</v>
      </c>
      <c r="E14" t="s">
        <v>52</v>
      </c>
      <c r="F14"/>
      <c r="I14" s="1" t="str">
        <f>CONCATENATE("show @ ",SUBSTITUTE(E14,",",""))</f>
        <v>show @ D1</v>
      </c>
      <c r="J14" t="s">
        <v>119</v>
      </c>
    </row>
    <row r="15" spans="1:10" x14ac:dyDescent="0.25">
      <c r="A15">
        <v>1</v>
      </c>
      <c r="B15" t="s">
        <v>59</v>
      </c>
      <c r="C15" t="s">
        <v>60</v>
      </c>
      <c r="D15" t="s">
        <v>61</v>
      </c>
      <c r="E15" t="s">
        <v>62</v>
      </c>
      <c r="F15"/>
      <c r="I15" s="1" t="str">
        <f>CONCATENATE("show @ ",SUBSTITUTE(E15,",",""))</f>
        <v>show @ D3</v>
      </c>
      <c r="J15" t="s">
        <v>119</v>
      </c>
    </row>
    <row r="16" spans="1:10" x14ac:dyDescent="0.25">
      <c r="A16">
        <v>1</v>
      </c>
      <c r="B16" t="s">
        <v>102</v>
      </c>
      <c r="C16" t="s">
        <v>103</v>
      </c>
      <c r="D16" t="s">
        <v>104</v>
      </c>
      <c r="E16" t="s">
        <v>105</v>
      </c>
      <c r="F16"/>
      <c r="I16" s="1" t="str">
        <f>CONCATENATE("show @ ",SUBSTITUTE(E16,",",""))</f>
        <v>show @ D2</v>
      </c>
      <c r="J16" t="s">
        <v>119</v>
      </c>
    </row>
    <row r="17" spans="1:10" x14ac:dyDescent="0.25">
      <c r="A17">
        <v>1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I17" s="1" t="str">
        <f>CONCATENATE("show @ ",SUBSTITUTE(E17,",",""))</f>
        <v>show @ L1</v>
      </c>
      <c r="J17" t="s">
        <v>119</v>
      </c>
    </row>
    <row r="18" spans="1:10" x14ac:dyDescent="0.25">
      <c r="A18">
        <v>1</v>
      </c>
      <c r="B18" t="s">
        <v>40</v>
      </c>
      <c r="C18" t="s">
        <v>41</v>
      </c>
      <c r="D18" t="s">
        <v>42</v>
      </c>
      <c r="E18" t="s">
        <v>43</v>
      </c>
      <c r="F18" t="s">
        <v>44</v>
      </c>
      <c r="I18" s="1" t="str">
        <f>CONCATENATE("show @ ",SUBSTITUTE(E18,",",""))</f>
        <v>show @ IC1</v>
      </c>
      <c r="J18" t="s">
        <v>119</v>
      </c>
    </row>
    <row r="19" spans="1:10" x14ac:dyDescent="0.25">
      <c r="A19">
        <v>1</v>
      </c>
      <c r="B19" t="s">
        <v>89</v>
      </c>
      <c r="C19" t="s">
        <v>89</v>
      </c>
      <c r="D19" t="s">
        <v>89</v>
      </c>
      <c r="E19" t="s">
        <v>38</v>
      </c>
      <c r="F19" t="s">
        <v>48</v>
      </c>
      <c r="I19" s="1" t="str">
        <f>CONCATENATE("show @ ",SUBSTITUTE(E19,",",""))</f>
        <v>show @ X4</v>
      </c>
      <c r="J19" t="s">
        <v>119</v>
      </c>
    </row>
    <row r="20" spans="1:10" x14ac:dyDescent="0.25">
      <c r="A20">
        <v>1</v>
      </c>
      <c r="B20" t="s">
        <v>90</v>
      </c>
      <c r="C20" t="s">
        <v>90</v>
      </c>
      <c r="D20" t="s">
        <v>90</v>
      </c>
      <c r="E20" t="s">
        <v>39</v>
      </c>
      <c r="F20" t="s">
        <v>48</v>
      </c>
      <c r="I20" s="1" t="str">
        <f>CONCATENATE("show @ ",SUBSTITUTE(E20,",",""))</f>
        <v>show @ X3</v>
      </c>
      <c r="J20" t="s">
        <v>119</v>
      </c>
    </row>
    <row r="21" spans="1:10" x14ac:dyDescent="0.25">
      <c r="A21">
        <v>1</v>
      </c>
      <c r="B21" t="s">
        <v>91</v>
      </c>
      <c r="C21" t="s">
        <v>91</v>
      </c>
      <c r="D21" t="s">
        <v>91</v>
      </c>
      <c r="E21" t="s">
        <v>92</v>
      </c>
      <c r="F21" t="s">
        <v>93</v>
      </c>
      <c r="I21" s="1" t="str">
        <f>CONCATENATE("show @ ",SUBSTITUTE(E21,",",""))</f>
        <v>show @ X5</v>
      </c>
      <c r="J21" t="s">
        <v>122</v>
      </c>
    </row>
    <row r="22" spans="1:10" x14ac:dyDescent="0.25">
      <c r="A22">
        <v>4</v>
      </c>
      <c r="B22" t="s">
        <v>94</v>
      </c>
      <c r="C22" t="s">
        <v>94</v>
      </c>
      <c r="D22" t="s">
        <v>95</v>
      </c>
      <c r="E22" t="s">
        <v>96</v>
      </c>
      <c r="F22" t="s">
        <v>97</v>
      </c>
      <c r="I22" s="1" t="str">
        <f>CONCATENATE("show @ ",SUBSTITUTE(E22,",",""))</f>
        <v>show @ H1 H2 H3 H4</v>
      </c>
      <c r="J22" t="s">
        <v>123</v>
      </c>
    </row>
    <row r="23" spans="1:10" x14ac:dyDescent="0.25">
      <c r="A23">
        <v>1</v>
      </c>
      <c r="B23" t="s">
        <v>98</v>
      </c>
      <c r="C23" t="s">
        <v>98</v>
      </c>
      <c r="D23" t="s">
        <v>98</v>
      </c>
      <c r="E23" t="s">
        <v>47</v>
      </c>
      <c r="F23" t="s">
        <v>48</v>
      </c>
      <c r="I23" s="1" t="str">
        <f>CONCATENATE("show @ ",SUBSTITUTE(E23,",",""))</f>
        <v>show @ X2</v>
      </c>
      <c r="J23" t="s">
        <v>119</v>
      </c>
    </row>
    <row r="24" spans="1:10" x14ac:dyDescent="0.25">
      <c r="A24">
        <v>1</v>
      </c>
      <c r="B24" t="s">
        <v>45</v>
      </c>
      <c r="C24" t="s">
        <v>46</v>
      </c>
      <c r="D24" t="s">
        <v>46</v>
      </c>
      <c r="E24" t="s">
        <v>37</v>
      </c>
      <c r="F24" t="s">
        <v>48</v>
      </c>
      <c r="I24" s="1" t="str">
        <f>CONCATENATE("show @ ",SUBSTITUTE(E24,",",""))</f>
        <v>show @ X1</v>
      </c>
      <c r="J24" t="s">
        <v>119</v>
      </c>
    </row>
    <row r="25" spans="1:10" x14ac:dyDescent="0.25">
      <c r="A25">
        <v>1</v>
      </c>
      <c r="B25" t="s">
        <v>77</v>
      </c>
      <c r="C25" t="s">
        <v>78</v>
      </c>
      <c r="D25" t="s">
        <v>79</v>
      </c>
      <c r="E25" t="s">
        <v>80</v>
      </c>
      <c r="F25"/>
      <c r="I25" s="1" t="str">
        <f>CONCATENATE("show @ ",SUBSTITUTE(E25,",",""))</f>
        <v>show @ K1</v>
      </c>
      <c r="J25" t="s">
        <v>121</v>
      </c>
    </row>
    <row r="26" spans="1:10" x14ac:dyDescent="0.25">
      <c r="A26">
        <v>10</v>
      </c>
      <c r="B26" t="s">
        <v>55</v>
      </c>
      <c r="C26" t="s">
        <v>16</v>
      </c>
      <c r="D26" t="s">
        <v>17</v>
      </c>
      <c r="E26" t="s">
        <v>56</v>
      </c>
      <c r="F26" t="s">
        <v>15</v>
      </c>
      <c r="I26" s="1" t="str">
        <f>CONCATENATE("show @ ",SUBSTITUTE(E26,",",""))</f>
        <v>show @ R11 R12 R13 R14 R15 R26 R27 R28 R29 R30</v>
      </c>
      <c r="J26" t="s">
        <v>119</v>
      </c>
    </row>
    <row r="27" spans="1:10" x14ac:dyDescent="0.25">
      <c r="A27">
        <v>1</v>
      </c>
      <c r="B27" t="s">
        <v>63</v>
      </c>
      <c r="C27" t="s">
        <v>16</v>
      </c>
      <c r="D27" t="s">
        <v>17</v>
      </c>
      <c r="E27" t="s">
        <v>64</v>
      </c>
      <c r="F27" t="s">
        <v>15</v>
      </c>
      <c r="I27" s="1" t="str">
        <f>CONCATENATE("show @ ",SUBSTITUTE(E27,",",""))</f>
        <v>show @ R7</v>
      </c>
      <c r="J27" t="s">
        <v>119</v>
      </c>
    </row>
    <row r="28" spans="1:10" x14ac:dyDescent="0.25">
      <c r="A28">
        <v>1</v>
      </c>
      <c r="B28" t="s">
        <v>57</v>
      </c>
      <c r="C28" t="s">
        <v>16</v>
      </c>
      <c r="D28" t="s">
        <v>17</v>
      </c>
      <c r="E28" t="s">
        <v>58</v>
      </c>
      <c r="F28" t="s">
        <v>15</v>
      </c>
      <c r="I28" s="1" t="str">
        <f>CONCATENATE("show @ ",SUBSTITUTE(E28,",",""))</f>
        <v>show @ R2</v>
      </c>
      <c r="J28" t="s">
        <v>119</v>
      </c>
    </row>
    <row r="29" spans="1:10" x14ac:dyDescent="0.25">
      <c r="A29">
        <v>1</v>
      </c>
      <c r="B29" t="s">
        <v>65</v>
      </c>
      <c r="C29" t="s">
        <v>16</v>
      </c>
      <c r="D29" t="s">
        <v>17</v>
      </c>
      <c r="E29" t="s">
        <v>18</v>
      </c>
      <c r="F29" t="s">
        <v>15</v>
      </c>
      <c r="I29" s="1" t="str">
        <f>CONCATENATE("show @ ",SUBSTITUTE(E29,",",""))</f>
        <v>show @ R1</v>
      </c>
      <c r="J29" t="s">
        <v>119</v>
      </c>
    </row>
    <row r="30" spans="1:10" x14ac:dyDescent="0.25">
      <c r="A30">
        <v>1</v>
      </c>
      <c r="B30" t="s">
        <v>32</v>
      </c>
      <c r="C30" t="s">
        <v>16</v>
      </c>
      <c r="D30" t="s">
        <v>17</v>
      </c>
      <c r="E30" t="s">
        <v>66</v>
      </c>
      <c r="F30" t="s">
        <v>15</v>
      </c>
      <c r="I30" s="1" t="str">
        <f>CONCATENATE("show @ ",SUBSTITUTE(E30,",",""))</f>
        <v>show @ R3</v>
      </c>
      <c r="J30" t="s">
        <v>119</v>
      </c>
    </row>
    <row r="31" spans="1:10" x14ac:dyDescent="0.25">
      <c r="A31">
        <v>10</v>
      </c>
      <c r="B31" t="s">
        <v>67</v>
      </c>
      <c r="C31" t="s">
        <v>16</v>
      </c>
      <c r="D31" t="s">
        <v>17</v>
      </c>
      <c r="E31" t="s">
        <v>68</v>
      </c>
      <c r="F31" t="s">
        <v>15</v>
      </c>
      <c r="I31" s="1" t="str">
        <f>CONCATENATE("show @ ",SUBSTITUTE(E31,",",""))</f>
        <v>show @ R31 R32 R33 R34 R35 R36 R37 R38 R39 R40</v>
      </c>
      <c r="J31" t="s">
        <v>119</v>
      </c>
    </row>
    <row r="32" spans="1:10" x14ac:dyDescent="0.25">
      <c r="A32">
        <v>4</v>
      </c>
      <c r="B32" t="s">
        <v>69</v>
      </c>
      <c r="C32" t="s">
        <v>16</v>
      </c>
      <c r="D32" t="s">
        <v>17</v>
      </c>
      <c r="E32" t="s">
        <v>70</v>
      </c>
      <c r="F32" t="s">
        <v>15</v>
      </c>
      <c r="I32" s="1" t="str">
        <f>CONCATENATE("show @ ",SUBSTITUTE(E32,",",""))</f>
        <v>show @ R4 R8 R9 R10</v>
      </c>
      <c r="J32" t="s">
        <v>119</v>
      </c>
    </row>
    <row r="33" spans="1:10" x14ac:dyDescent="0.25">
      <c r="A33">
        <v>10</v>
      </c>
      <c r="B33" t="s">
        <v>71</v>
      </c>
      <c r="C33" t="s">
        <v>16</v>
      </c>
      <c r="D33" t="s">
        <v>17</v>
      </c>
      <c r="E33" t="s">
        <v>72</v>
      </c>
      <c r="F33" t="s">
        <v>15</v>
      </c>
      <c r="I33" s="1" t="str">
        <f>CONCATENATE("show @ ",SUBSTITUTE(E33,",",""))</f>
        <v>show @ R16 R17 R18 R19 R20 R21 R22 R23 R24 R25</v>
      </c>
      <c r="J33" t="s">
        <v>119</v>
      </c>
    </row>
    <row r="34" spans="1:10" x14ac:dyDescent="0.25">
      <c r="A34">
        <v>2</v>
      </c>
      <c r="B34" t="s">
        <v>53</v>
      </c>
      <c r="C34" t="s">
        <v>16</v>
      </c>
      <c r="D34" t="s">
        <v>17</v>
      </c>
      <c r="E34" t="s">
        <v>113</v>
      </c>
      <c r="F34" t="s">
        <v>15</v>
      </c>
      <c r="I34" s="1" t="str">
        <f>CONCATENATE("show @ ",SUBSTITUTE(E34,",",""))</f>
        <v>show @ R5 R6</v>
      </c>
      <c r="J34" t="s">
        <v>53</v>
      </c>
    </row>
    <row r="35" spans="1:10" x14ac:dyDescent="0.25">
      <c r="A35">
        <v>1</v>
      </c>
      <c r="B35" t="s">
        <v>99</v>
      </c>
      <c r="C35" t="s">
        <v>99</v>
      </c>
      <c r="D35" t="s">
        <v>100</v>
      </c>
      <c r="E35" t="s">
        <v>101</v>
      </c>
      <c r="F35"/>
      <c r="I35" s="1" t="str">
        <f>CONCATENATE("show @ ",SUBSTITUTE(E35,",",""))</f>
        <v>show @ S1</v>
      </c>
      <c r="J35" t="s">
        <v>119</v>
      </c>
    </row>
    <row r="36" spans="1:10" x14ac:dyDescent="0.25">
      <c r="A36">
        <v>1</v>
      </c>
      <c r="B36" t="s">
        <v>106</v>
      </c>
      <c r="C36" t="s">
        <v>107</v>
      </c>
      <c r="D36" t="s">
        <v>108</v>
      </c>
      <c r="E36" t="s">
        <v>109</v>
      </c>
      <c r="F36" t="s">
        <v>110</v>
      </c>
      <c r="I36" s="1" t="str">
        <f>CONCATENATE("show @ ",SUBSTITUTE(E36,",",""))</f>
        <v>show @ M1</v>
      </c>
      <c r="J36" t="s">
        <v>119</v>
      </c>
    </row>
    <row r="37" spans="1:10" x14ac:dyDescent="0.25">
      <c r="A37">
        <v>1</v>
      </c>
      <c r="B37" t="s">
        <v>111</v>
      </c>
      <c r="C37" t="s">
        <v>111</v>
      </c>
      <c r="D37" t="s">
        <v>111</v>
      </c>
      <c r="E37" t="s">
        <v>112</v>
      </c>
      <c r="F37" t="s">
        <v>111</v>
      </c>
      <c r="I37" s="1" t="str">
        <f>CONCATENATE("show @ ",SUBSTITUTE(E37,",",""))</f>
        <v>show @ DIS1</v>
      </c>
      <c r="J37" t="s">
        <v>124</v>
      </c>
    </row>
    <row r="38" spans="1:10" x14ac:dyDescent="0.25">
      <c r="A38">
        <v>11</v>
      </c>
      <c r="B38" t="s">
        <v>73</v>
      </c>
      <c r="C38" t="s">
        <v>74</v>
      </c>
      <c r="D38" t="s">
        <v>75</v>
      </c>
      <c r="E38" t="s">
        <v>76</v>
      </c>
      <c r="F38"/>
      <c r="I38" s="1" t="str">
        <f>CONCATENATE("show @ ",SUBSTITUTE(E38,",",""))</f>
        <v>show @ Q1 Q2 Q3 Q4 Q5 Q6 Q7 Q8 Q9 Q10 Q11</v>
      </c>
      <c r="J38" t="s">
        <v>120</v>
      </c>
    </row>
  </sheetData>
  <pageMargins left="0.7" right="0.7" top="0.78740157499999996" bottom="0.78740157499999996" header="0.3" footer="0.3"/>
  <pageSetup orientation="portrait" horizontalDpi="300" verticalDpi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Eagle Bestückhilfe</dc:title>
  <dc:creator>Schumann, Oliver (LDA PLM D R&amp;D2)</dc:creator>
  <cp:lastModifiedBy>Schumann, Oliver (SIN-HW)</cp:lastModifiedBy>
  <dcterms:created xsi:type="dcterms:W3CDTF">2022-08-23T08:43:34Z</dcterms:created>
  <dcterms:modified xsi:type="dcterms:W3CDTF">2026-03-30T08:57:31Z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258917-277f-42cd-a3cd-14c4e9ee58bc_Enabled">
    <vt:lpwstr>true</vt:lpwstr>
  </property>
  <property fmtid="{D5CDD505-2E9C-101B-9397-08002B2CF9AE}" pid="3" name="MSIP_Label_9d258917-277f-42cd-a3cd-14c4e9ee58bc_SetDate">
    <vt:lpwstr>2022-08-30T06:39:12Z</vt:lpwstr>
  </property>
  <property fmtid="{D5CDD505-2E9C-101B-9397-08002B2CF9AE}" pid="4" name="MSIP_Label_9d258917-277f-42cd-a3cd-14c4e9ee58bc_Method">
    <vt:lpwstr>Standard</vt:lpwstr>
  </property>
  <property fmtid="{D5CDD505-2E9C-101B-9397-08002B2CF9AE}" pid="5" name="MSIP_Label_9d258917-277f-42cd-a3cd-14c4e9ee58bc_Name">
    <vt:lpwstr>restricted</vt:lpwstr>
  </property>
  <property fmtid="{D5CDD505-2E9C-101B-9397-08002B2CF9AE}" pid="6" name="MSIP_Label_9d258917-277f-42cd-a3cd-14c4e9ee58bc_SiteId">
    <vt:lpwstr>38ae3bcd-9579-4fd4-adda-b42e1495d55a</vt:lpwstr>
  </property>
  <property fmtid="{D5CDD505-2E9C-101B-9397-08002B2CF9AE}" pid="7" name="MSIP_Label_9d258917-277f-42cd-a3cd-14c4e9ee58bc_ActionId">
    <vt:lpwstr>c42f92b5-5bec-4a69-8a84-55cd92f5a870</vt:lpwstr>
  </property>
  <property fmtid="{D5CDD505-2E9C-101B-9397-08002B2CF9AE}" pid="8" name="MSIP_Label_9d258917-277f-42cd-a3cd-14c4e9ee58bc_ContentBits">
    <vt:lpwstr>0</vt:lpwstr>
  </property>
  <property fmtid="{D5CDD505-2E9C-101B-9397-08002B2CF9AE}" pid="9" name="Document_Confidentiality">
    <vt:lpwstr>Restricted</vt:lpwstr>
  </property>
</Properties>
</file>